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270" windowWidth="18810" windowHeight="11640" activeTab="2"/>
  </bookViews>
  <sheets>
    <sheet name="Калькуляция" sheetId="1" r:id="rId1"/>
    <sheet name="Расчет% накладных расхов" sheetId="3" r:id="rId2"/>
    <sheet name="Лист1" sheetId="4" r:id="rId3"/>
  </sheets>
  <definedNames>
    <definedName name="_xlnm._FilterDatabase" localSheetId="0" hidden="1">Калькуляция!$F$10:$F$25</definedName>
  </definedNames>
  <calcPr calcId="145621"/>
</workbook>
</file>

<file path=xl/calcChain.xml><?xml version="1.0" encoding="utf-8"?>
<calcChain xmlns="http://schemas.openxmlformats.org/spreadsheetml/2006/main">
  <c r="E25" i="1" l="1"/>
  <c r="C6" i="3"/>
  <c r="C8" i="3" s="1"/>
  <c r="F12" i="1"/>
  <c r="F13" i="1"/>
  <c r="F14" i="1"/>
  <c r="F15" i="1"/>
  <c r="F16" i="1"/>
  <c r="F17" i="1"/>
  <c r="F18" i="1"/>
  <c r="F11" i="1"/>
  <c r="F4" i="1"/>
  <c r="C10" i="3" l="1"/>
  <c r="C7" i="3"/>
  <c r="C14" i="3" s="1"/>
  <c r="E20" i="1" s="1"/>
  <c r="E24" i="1" l="1"/>
  <c r="D24" i="1"/>
  <c r="F20" i="1"/>
  <c r="F22" i="1" s="1"/>
  <c r="D25" i="1" l="1"/>
</calcChain>
</file>

<file path=xl/sharedStrings.xml><?xml version="1.0" encoding="utf-8"?>
<sst xmlns="http://schemas.openxmlformats.org/spreadsheetml/2006/main" count="56" uniqueCount="44">
  <si>
    <t>Утверждаю:</t>
  </si>
  <si>
    <t>Ед. изм.</t>
  </si>
  <si>
    <t>1 шт</t>
  </si>
  <si>
    <t>Единица стоимости</t>
  </si>
  <si>
    <t>руб.</t>
  </si>
  <si>
    <t>№ п/п</t>
  </si>
  <si>
    <t>Наименование</t>
  </si>
  <si>
    <t>Ед. изм</t>
  </si>
  <si>
    <t>Норма расхода</t>
  </si>
  <si>
    <t>Цена</t>
  </si>
  <si>
    <t>Сумма</t>
  </si>
  <si>
    <t>1\1</t>
  </si>
  <si>
    <t>кг</t>
  </si>
  <si>
    <t>1\2</t>
  </si>
  <si>
    <t>1\3</t>
  </si>
  <si>
    <t>1\4</t>
  </si>
  <si>
    <t>1\5</t>
  </si>
  <si>
    <t>1\6</t>
  </si>
  <si>
    <t>1\7</t>
  </si>
  <si>
    <t>К утверждению:</t>
  </si>
  <si>
    <t>_______________________Иванов И.И</t>
  </si>
  <si>
    <t>Продукт А</t>
  </si>
  <si>
    <t>Постоянные расходы</t>
  </si>
  <si>
    <t>ИТОГО расходов</t>
  </si>
  <si>
    <t>м.п.</t>
  </si>
  <si>
    <t>Калькуляция продукции</t>
  </si>
  <si>
    <t>Основные материалы</t>
  </si>
  <si>
    <t>Латунь</t>
  </si>
  <si>
    <t>Дерево</t>
  </si>
  <si>
    <t>м3</t>
  </si>
  <si>
    <t>Орех</t>
  </si>
  <si>
    <t>Объем производства в мес</t>
  </si>
  <si>
    <t>Цена реализации 1 шт</t>
  </si>
  <si>
    <t>шт.</t>
  </si>
  <si>
    <t xml:space="preserve">Постоянные расходы </t>
  </si>
  <si>
    <t>снятие наличных 0,5%</t>
  </si>
  <si>
    <t>ПФР и  ФФОМС</t>
  </si>
  <si>
    <t>Процент постоянных расходов</t>
  </si>
  <si>
    <t>Расчет % накладных расходов</t>
  </si>
  <si>
    <t>обслуживание счета</t>
  </si>
  <si>
    <t>в том числе:
налог 6 % от выручки</t>
  </si>
  <si>
    <t>%</t>
  </si>
  <si>
    <t>прочие расходы (юрист, бухгалтер, таможня, сотовая  связь и т. п.)</t>
  </si>
  <si>
    <t>http://exceltable.com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</si>
</sst>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_р_._-;\-* #,##0.00_р_._-;_-* &quot;-&quot;??_р_._-;_-@_-"/>
    <numFmt numFmtId="164" formatCode="_-* #,##0.00_р_._-;\-* #,##0.00_р_._-;_-* \-??_р_._-;_-@_-"/>
    <numFmt numFmtId="165" formatCode="\ #,##0.00&quot;    &quot;;\-#,##0.00&quot;    &quot;;&quot; -&quot;#&quot;    &quot;;@\ "/>
    <numFmt numFmtId="166" formatCode="\ #,##0.000&quot;    &quot;;\-#,##0.000&quot;    &quot;;&quot; -&quot;#.0&quot;    &quot;;@\ "/>
  </numFmts>
  <fonts count="14" x14ac:knownFonts="1">
    <font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name val="Arial Cyr"/>
      <family val="2"/>
    </font>
    <font>
      <b/>
      <sz val="14"/>
      <name val="Times New Roman"/>
      <family val="1"/>
      <charset val="204"/>
    </font>
    <font>
      <b/>
      <sz val="18"/>
      <name val="Times New Roman"/>
      <family val="1"/>
      <charset val="204"/>
    </font>
    <font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color indexed="9"/>
      <name val="Times New Roman"/>
      <family val="1"/>
      <charset val="204"/>
    </font>
    <font>
      <sz val="8"/>
      <name val="Times New Roman"/>
      <family val="1"/>
      <charset val="204"/>
    </font>
    <font>
      <i/>
      <sz val="12"/>
      <name val="Times New Roman"/>
      <family val="1"/>
      <charset val="204"/>
    </font>
    <font>
      <b/>
      <sz val="16"/>
      <name val="Times New Roman"/>
      <family val="1"/>
      <charset val="204"/>
    </font>
    <font>
      <u/>
      <sz val="10"/>
      <color theme="10"/>
      <name val="Times New Roman"/>
      <family val="1"/>
      <charset val="204"/>
    </font>
    <font>
      <u/>
      <sz val="14"/>
      <color theme="1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31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</fills>
  <borders count="2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1" fillId="0" borderId="0"/>
    <xf numFmtId="9" fontId="1" fillId="0" borderId="0" applyFill="0" applyBorder="0" applyAlignment="0" applyProtection="0"/>
    <xf numFmtId="164" fontId="1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ill="0" applyBorder="0" applyAlignment="0" applyProtection="0"/>
    <xf numFmtId="0" fontId="12" fillId="0" borderId="0" applyNumberFormat="0" applyFill="0" applyBorder="0" applyAlignment="0" applyProtection="0"/>
  </cellStyleXfs>
  <cellXfs count="62">
    <xf numFmtId="0" fontId="0" fillId="0" borderId="0" xfId="0"/>
    <xf numFmtId="0" fontId="0" fillId="0" borderId="0" xfId="0" applyFont="1" applyFill="1"/>
    <xf numFmtId="0" fontId="5" fillId="0" borderId="0" xfId="0" applyFont="1" applyFill="1"/>
    <xf numFmtId="14" fontId="0" fillId="0" borderId="0" xfId="0" applyNumberFormat="1" applyFont="1" applyFill="1"/>
    <xf numFmtId="0" fontId="0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164" fontId="7" fillId="2" borderId="1" xfId="3" applyFont="1" applyFill="1" applyBorder="1" applyAlignment="1" applyProtection="1">
      <alignment horizontal="center" vertical="center" wrapText="1"/>
    </xf>
    <xf numFmtId="164" fontId="0" fillId="0" borderId="0" xfId="0" applyNumberFormat="1"/>
    <xf numFmtId="164" fontId="1" fillId="0" borderId="1" xfId="3" applyFont="1" applyFill="1" applyBorder="1" applyAlignment="1" applyProtection="1">
      <alignment horizontal="center"/>
    </xf>
    <xf numFmtId="0" fontId="1" fillId="0" borderId="1" xfId="1" applyFont="1" applyFill="1" applyBorder="1"/>
    <xf numFmtId="0" fontId="1" fillId="0" borderId="1" xfId="1" applyFont="1" applyBorder="1" applyAlignment="1">
      <alignment horizontal="center"/>
    </xf>
    <xf numFmtId="165" fontId="1" fillId="0" borderId="1" xfId="5" applyNumberFormat="1" applyFont="1" applyFill="1" applyBorder="1" applyAlignment="1" applyProtection="1">
      <alignment horizontal="center"/>
    </xf>
    <xf numFmtId="164" fontId="1" fillId="0" borderId="1" xfId="4" applyNumberFormat="1" applyFont="1" applyFill="1" applyBorder="1" applyAlignment="1" applyProtection="1">
      <alignment horizontal="center"/>
    </xf>
    <xf numFmtId="0" fontId="0" fillId="0" borderId="0" xfId="0" applyFill="1"/>
    <xf numFmtId="164" fontId="1" fillId="0" borderId="0" xfId="5" applyNumberFormat="1" applyFont="1" applyFill="1" applyBorder="1" applyAlignment="1" applyProtection="1">
      <alignment horizontal="center"/>
    </xf>
    <xf numFmtId="0" fontId="8" fillId="0" borderId="0" xfId="0" applyFont="1"/>
    <xf numFmtId="0" fontId="1" fillId="0" borderId="0" xfId="1" applyFont="1" applyBorder="1"/>
    <xf numFmtId="0" fontId="1" fillId="0" borderId="0" xfId="1" applyFont="1" applyBorder="1" applyAlignment="1">
      <alignment horizontal="center"/>
    </xf>
    <xf numFmtId="164" fontId="1" fillId="0" borderId="0" xfId="4" applyNumberFormat="1" applyFont="1" applyFill="1" applyBorder="1" applyAlignment="1" applyProtection="1">
      <alignment horizontal="center"/>
    </xf>
    <xf numFmtId="0" fontId="6" fillId="0" borderId="0" xfId="0" applyFont="1"/>
    <xf numFmtId="164" fontId="1" fillId="0" borderId="1" xfId="2" applyNumberFormat="1" applyFont="1" applyFill="1" applyBorder="1" applyAlignment="1" applyProtection="1">
      <alignment horizontal="center" vertical="center"/>
    </xf>
    <xf numFmtId="9" fontId="1" fillId="0" borderId="1" xfId="2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0" fontId="8" fillId="0" borderId="0" xfId="0" applyFont="1" applyFill="1"/>
    <xf numFmtId="164" fontId="7" fillId="2" borderId="2" xfId="3" applyFont="1" applyFill="1" applyBorder="1" applyAlignment="1" applyProtection="1">
      <alignment horizontal="center" vertical="center" wrapText="1"/>
    </xf>
    <xf numFmtId="9" fontId="6" fillId="2" borderId="3" xfId="2" applyFont="1" applyFill="1" applyBorder="1" applyAlignment="1">
      <alignment horizontal="center" vertical="center" wrapText="1"/>
    </xf>
    <xf numFmtId="166" fontId="1" fillId="0" borderId="1" xfId="5" applyNumberFormat="1" applyFont="1" applyFill="1" applyBorder="1" applyAlignment="1" applyProtection="1">
      <alignment horizontal="center"/>
    </xf>
    <xf numFmtId="43" fontId="0" fillId="0" borderId="0" xfId="0" applyNumberFormat="1"/>
    <xf numFmtId="0" fontId="5" fillId="0" borderId="0" xfId="0" applyFont="1"/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center" vertical="center" wrapText="1"/>
    </xf>
    <xf numFmtId="164" fontId="5" fillId="0" borderId="15" xfId="3" applyNumberFormat="1" applyFont="1" applyBorder="1" applyAlignment="1">
      <alignment horizontal="center" vertical="center" wrapText="1"/>
    </xf>
    <xf numFmtId="0" fontId="5" fillId="0" borderId="16" xfId="0" applyFont="1" applyBorder="1" applyAlignment="1">
      <alignment horizontal="left" vertical="center" wrapText="1"/>
    </xf>
    <xf numFmtId="164" fontId="5" fillId="0" borderId="17" xfId="3" applyNumberFormat="1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164" fontId="5" fillId="0" borderId="19" xfId="3" applyNumberFormat="1" applyFont="1" applyBorder="1" applyAlignment="1">
      <alignment horizontal="center" vertical="center" wrapText="1"/>
    </xf>
    <xf numFmtId="0" fontId="7" fillId="3" borderId="16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center" vertical="center" wrapText="1"/>
    </xf>
    <xf numFmtId="164" fontId="7" fillId="3" borderId="17" xfId="3" applyNumberFormat="1" applyFont="1" applyFill="1" applyBorder="1" applyAlignment="1">
      <alignment horizontal="center" vertical="center" wrapText="1"/>
    </xf>
    <xf numFmtId="0" fontId="10" fillId="0" borderId="16" xfId="0" applyFont="1" applyBorder="1" applyAlignment="1">
      <alignment horizontal="right" vertical="center" wrapText="1"/>
    </xf>
    <xf numFmtId="0" fontId="10" fillId="0" borderId="20" xfId="0" applyFont="1" applyBorder="1" applyAlignment="1">
      <alignment horizontal="right" vertical="center" wrapText="1"/>
    </xf>
    <xf numFmtId="0" fontId="7" fillId="4" borderId="21" xfId="0" applyFont="1" applyFill="1" applyBorder="1" applyAlignment="1">
      <alignment horizontal="center"/>
    </xf>
    <xf numFmtId="0" fontId="7" fillId="4" borderId="22" xfId="0" applyFont="1" applyFill="1" applyBorder="1" applyAlignment="1">
      <alignment horizontal="center"/>
    </xf>
    <xf numFmtId="9" fontId="7" fillId="4" borderId="23" xfId="2" applyFont="1" applyFill="1" applyBorder="1" applyAlignment="1">
      <alignment horizontal="center"/>
    </xf>
    <xf numFmtId="0" fontId="13" fillId="0" borderId="0" xfId="6" applyFont="1"/>
    <xf numFmtId="0" fontId="7" fillId="2" borderId="1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left" vertical="center" wrapText="1"/>
    </xf>
    <xf numFmtId="0" fontId="7" fillId="2" borderId="7" xfId="0" applyFont="1" applyFill="1" applyBorder="1" applyAlignment="1">
      <alignment horizontal="left" vertical="center" wrapText="1"/>
    </xf>
    <xf numFmtId="0" fontId="7" fillId="2" borderId="8" xfId="0" applyFont="1" applyFill="1" applyBorder="1" applyAlignment="1">
      <alignment horizontal="left" vertical="center" wrapText="1"/>
    </xf>
    <xf numFmtId="0" fontId="7" fillId="2" borderId="9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center"/>
    </xf>
    <xf numFmtId="0" fontId="4" fillId="0" borderId="0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/>
    </xf>
  </cellXfs>
  <cellStyles count="7">
    <cellStyle name="Гиперссылка" xfId="6" builtinId="8"/>
    <cellStyle name="Обычный" xfId="0" builtinId="0"/>
    <cellStyle name="Обычный_Книга2" xfId="1"/>
    <cellStyle name="Процентный" xfId="2" builtinId="5"/>
    <cellStyle name="Финансовый" xfId="3" builtinId="3"/>
    <cellStyle name="Финансовый_Книга2" xfId="4"/>
    <cellStyle name="Финансовый_Книга2_Справосник по материалам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Лист1!$A$1:$A$9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val>
        </c:ser>
        <c:ser>
          <c:idx val="1"/>
          <c:order val="1"/>
          <c:invertIfNegative val="0"/>
          <c:val>
            <c:numRef>
              <c:f>Лист1!$B$1:$B$9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099392"/>
        <c:axId val="121100928"/>
      </c:barChart>
      <c:catAx>
        <c:axId val="121099392"/>
        <c:scaling>
          <c:orientation val="minMax"/>
        </c:scaling>
        <c:delete val="0"/>
        <c:axPos val="b"/>
        <c:majorTickMark val="out"/>
        <c:minorTickMark val="none"/>
        <c:tickLblPos val="nextTo"/>
        <c:crossAx val="121100928"/>
        <c:crosses val="autoZero"/>
        <c:auto val="1"/>
        <c:lblAlgn val="ctr"/>
        <c:lblOffset val="100"/>
        <c:noMultiLvlLbl val="0"/>
      </c:catAx>
      <c:valAx>
        <c:axId val="1211009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10993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395287</xdr:colOff>
      <xdr:row>6</xdr:row>
      <xdr:rowOff>152400</xdr:rowOff>
    </xdr:from>
    <xdr:to>
      <xdr:col>16</xdr:col>
      <xdr:colOff>166687</xdr:colOff>
      <xdr:row>23</xdr:row>
      <xdr:rowOff>142875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exceltable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exceltable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J37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B1" sqref="B1"/>
    </sheetView>
  </sheetViews>
  <sheetFormatPr defaultRowHeight="12.75" x14ac:dyDescent="0.2"/>
  <cols>
    <col min="2" max="2" width="49.83203125" customWidth="1"/>
    <col min="4" max="4" width="14.33203125" customWidth="1"/>
    <col min="5" max="5" width="15.5" customWidth="1"/>
    <col min="6" max="6" width="16.6640625" customWidth="1"/>
    <col min="8" max="8" width="12" customWidth="1"/>
  </cols>
  <sheetData>
    <row r="1" spans="1:10" ht="18.75" x14ac:dyDescent="0.3">
      <c r="B1" s="48" t="s">
        <v>43</v>
      </c>
      <c r="D1" s="56"/>
      <c r="E1" s="56"/>
      <c r="F1" s="56"/>
      <c r="G1" s="56"/>
    </row>
    <row r="2" spans="1:10" ht="15.2" customHeight="1" x14ac:dyDescent="0.25">
      <c r="A2" s="57" t="s">
        <v>25</v>
      </c>
      <c r="B2" s="57"/>
      <c r="C2" s="1"/>
      <c r="D2" s="2" t="s">
        <v>0</v>
      </c>
      <c r="E2" s="2"/>
      <c r="F2" s="1"/>
    </row>
    <row r="3" spans="1:10" ht="15.75" x14ac:dyDescent="0.25">
      <c r="A3" s="57"/>
      <c r="B3" s="57"/>
      <c r="C3" s="1"/>
      <c r="D3" s="2" t="s">
        <v>20</v>
      </c>
      <c r="E3" s="2"/>
      <c r="F3" s="1"/>
    </row>
    <row r="4" spans="1:10" x14ac:dyDescent="0.2">
      <c r="A4" s="57"/>
      <c r="B4" s="57"/>
      <c r="C4" s="1"/>
      <c r="D4" s="1"/>
      <c r="E4" s="13" t="s">
        <v>24</v>
      </c>
      <c r="F4" s="3">
        <f ca="1">TODAY()</f>
        <v>42341</v>
      </c>
      <c r="J4" s="23"/>
    </row>
    <row r="6" spans="1:10" ht="17.850000000000001" customHeight="1" x14ac:dyDescent="0.2">
      <c r="A6" s="58" t="s">
        <v>21</v>
      </c>
      <c r="B6" s="58"/>
      <c r="C6" s="58"/>
      <c r="D6" s="58"/>
      <c r="E6" s="58"/>
      <c r="F6" s="58"/>
    </row>
    <row r="8" spans="1:10" x14ac:dyDescent="0.2">
      <c r="A8" s="4" t="s">
        <v>1</v>
      </c>
      <c r="B8" s="4" t="s">
        <v>2</v>
      </c>
      <c r="D8" s="59" t="s">
        <v>3</v>
      </c>
      <c r="E8" s="59"/>
      <c r="F8" s="4" t="s">
        <v>4</v>
      </c>
    </row>
    <row r="10" spans="1:10" ht="25.5" x14ac:dyDescent="0.2">
      <c r="A10" s="5" t="s">
        <v>5</v>
      </c>
      <c r="B10" s="5" t="s">
        <v>6</v>
      </c>
      <c r="C10" s="5" t="s">
        <v>7</v>
      </c>
      <c r="D10" s="5" t="s">
        <v>8</v>
      </c>
      <c r="E10" s="5" t="s">
        <v>9</v>
      </c>
      <c r="F10" s="5" t="s">
        <v>10</v>
      </c>
    </row>
    <row r="11" spans="1:10" ht="12.75" customHeight="1" x14ac:dyDescent="0.2">
      <c r="A11" s="50" t="s">
        <v>26</v>
      </c>
      <c r="B11" s="51"/>
      <c r="C11" s="51"/>
      <c r="D11" s="51"/>
      <c r="E11" s="60"/>
      <c r="F11" s="6">
        <f>SUM(F12:F18)</f>
        <v>556.04999999999995</v>
      </c>
      <c r="H11" s="7"/>
    </row>
    <row r="12" spans="1:10" x14ac:dyDescent="0.2">
      <c r="A12" s="8" t="s">
        <v>11</v>
      </c>
      <c r="B12" s="9" t="s">
        <v>27</v>
      </c>
      <c r="C12" s="10" t="s">
        <v>12</v>
      </c>
      <c r="D12" s="11">
        <v>0.5</v>
      </c>
      <c r="E12" s="12">
        <v>1000</v>
      </c>
      <c r="F12" s="8">
        <f t="shared" ref="F12:F18" si="0">D12*E12</f>
        <v>500</v>
      </c>
    </row>
    <row r="13" spans="1:10" x14ac:dyDescent="0.2">
      <c r="A13" s="8" t="s">
        <v>13</v>
      </c>
      <c r="B13" s="9" t="s">
        <v>28</v>
      </c>
      <c r="C13" s="10" t="s">
        <v>29</v>
      </c>
      <c r="D13" s="26">
        <v>7.0000000000000001E-3</v>
      </c>
      <c r="E13" s="12">
        <v>5150</v>
      </c>
      <c r="F13" s="8">
        <f t="shared" si="0"/>
        <v>36.050000000000004</v>
      </c>
    </row>
    <row r="14" spans="1:10" x14ac:dyDescent="0.2">
      <c r="A14" s="8" t="s">
        <v>14</v>
      </c>
      <c r="B14" s="9" t="s">
        <v>30</v>
      </c>
      <c r="C14" s="10" t="s">
        <v>29</v>
      </c>
      <c r="D14" s="26">
        <v>2E-3</v>
      </c>
      <c r="E14" s="12">
        <v>10000</v>
      </c>
      <c r="F14" s="8">
        <f t="shared" si="0"/>
        <v>20</v>
      </c>
      <c r="H14" s="27"/>
    </row>
    <row r="15" spans="1:10" hidden="1" x14ac:dyDescent="0.2">
      <c r="A15" s="8" t="s">
        <v>15</v>
      </c>
      <c r="B15" s="9"/>
      <c r="C15" s="10"/>
      <c r="D15" s="11"/>
      <c r="E15" s="12"/>
      <c r="F15" s="8">
        <f t="shared" si="0"/>
        <v>0</v>
      </c>
    </row>
    <row r="16" spans="1:10" hidden="1" x14ac:dyDescent="0.2">
      <c r="A16" s="8" t="s">
        <v>16</v>
      </c>
      <c r="B16" s="9"/>
      <c r="C16" s="10"/>
      <c r="D16" s="11"/>
      <c r="E16" s="12"/>
      <c r="F16" s="8">
        <f t="shared" si="0"/>
        <v>0</v>
      </c>
    </row>
    <row r="17" spans="1:6" hidden="1" x14ac:dyDescent="0.2">
      <c r="A17" s="8" t="s">
        <v>17</v>
      </c>
      <c r="B17" s="9"/>
      <c r="C17" s="10"/>
      <c r="D17" s="11"/>
      <c r="E17" s="12"/>
      <c r="F17" s="8">
        <f t="shared" si="0"/>
        <v>0</v>
      </c>
    </row>
    <row r="18" spans="1:6" hidden="1" x14ac:dyDescent="0.2">
      <c r="A18" s="8" t="s">
        <v>18</v>
      </c>
      <c r="B18" s="9"/>
      <c r="C18" s="10"/>
      <c r="D18" s="11"/>
      <c r="E18" s="12"/>
      <c r="F18" s="8">
        <f t="shared" si="0"/>
        <v>0</v>
      </c>
    </row>
    <row r="19" spans="1:6" ht="7.5" customHeight="1" x14ac:dyDescent="0.2">
      <c r="B19" s="16"/>
      <c r="C19" s="17"/>
      <c r="D19" s="14"/>
      <c r="E19" s="18"/>
      <c r="F19" s="15">
        <v>1</v>
      </c>
    </row>
    <row r="20" spans="1:6" ht="15.6" customHeight="1" x14ac:dyDescent="0.2">
      <c r="A20" s="50" t="s">
        <v>22</v>
      </c>
      <c r="B20" s="51"/>
      <c r="C20" s="51"/>
      <c r="D20" s="52"/>
      <c r="E20" s="25">
        <f>'Расчет% накладных расхов'!C14</f>
        <v>0.57377699847136043</v>
      </c>
      <c r="F20" s="24">
        <f>F11*E20</f>
        <v>319.04869999999994</v>
      </c>
    </row>
    <row r="21" spans="1:6" ht="6.75" customHeight="1" x14ac:dyDescent="0.2">
      <c r="B21" s="16"/>
      <c r="C21" s="17"/>
      <c r="D21" s="14"/>
      <c r="E21" s="18"/>
      <c r="F21" s="15">
        <v>1</v>
      </c>
    </row>
    <row r="22" spans="1:6" ht="15.6" customHeight="1" x14ac:dyDescent="0.2">
      <c r="A22" s="53" t="s">
        <v>23</v>
      </c>
      <c r="B22" s="54"/>
      <c r="C22" s="54"/>
      <c r="D22" s="54"/>
      <c r="E22" s="55"/>
      <c r="F22" s="24">
        <f>F11+F20</f>
        <v>875.09869999999989</v>
      </c>
    </row>
    <row r="23" spans="1:6" x14ac:dyDescent="0.2">
      <c r="B23" s="16"/>
      <c r="C23" s="17"/>
      <c r="D23" s="14"/>
      <c r="E23" s="18"/>
      <c r="F23" s="15">
        <v>1</v>
      </c>
    </row>
    <row r="24" spans="1:6" x14ac:dyDescent="0.2">
      <c r="A24" s="19" t="s">
        <v>19</v>
      </c>
      <c r="D24" s="22" t="str">
        <f>IF(E20=0,"Маржа","Прибыль")</f>
        <v>Прибыль</v>
      </c>
      <c r="E24" s="22" t="str">
        <f>IF(E20=0,"% Маржы","Рентабельность")</f>
        <v>Рентабельность</v>
      </c>
      <c r="F24" s="15">
        <v>1</v>
      </c>
    </row>
    <row r="25" spans="1:6" ht="15.75" customHeight="1" x14ac:dyDescent="0.2">
      <c r="A25" s="49" t="s">
        <v>9</v>
      </c>
      <c r="B25" s="49"/>
      <c r="C25" s="49"/>
      <c r="D25" s="20">
        <f>F25-$F$22</f>
        <v>2320.9013</v>
      </c>
      <c r="E25" s="21">
        <f>F25/($F$22)-1</f>
        <v>2.6521594649837787</v>
      </c>
      <c r="F25" s="6">
        <v>3196</v>
      </c>
    </row>
    <row r="26" spans="1:6" x14ac:dyDescent="0.2">
      <c r="F26" s="15"/>
    </row>
    <row r="37" spans="6:6" x14ac:dyDescent="0.2">
      <c r="F37" s="15"/>
    </row>
  </sheetData>
  <sheetProtection selectLockedCells="1" selectUnlockedCells="1"/>
  <autoFilter ref="F10:F25">
    <filterColumn colId="0">
      <customFilters and="1">
        <customFilter operator="greaterThan" val="0"/>
      </customFilters>
    </filterColumn>
  </autoFilter>
  <mergeCells count="8">
    <mergeCell ref="A25:C25"/>
    <mergeCell ref="A20:D20"/>
    <mergeCell ref="A22:E22"/>
    <mergeCell ref="D1:G1"/>
    <mergeCell ref="A2:B4"/>
    <mergeCell ref="A6:F6"/>
    <mergeCell ref="D8:E8"/>
    <mergeCell ref="A11:E11"/>
  </mergeCells>
  <phoneticPr fontId="0" type="noConversion"/>
  <hyperlinks>
    <hyperlink ref="B1" r:id="rId1"/>
  </hyperlinks>
  <pageMargins left="0.78749999999999998" right="0.19652777777777777" top="0.19652777777777777" bottom="0.19652777777777777" header="0.51180555555555551" footer="0.51180555555555551"/>
  <pageSetup paperSize="9" scale="76" firstPageNumber="0" orientation="portrait" horizontalDpi="300" verticalDpi="300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/>
  </sheetViews>
  <sheetFormatPr defaultColWidth="13.33203125" defaultRowHeight="15.75" x14ac:dyDescent="0.25"/>
  <cols>
    <col min="1" max="1" width="43.6640625" style="28" customWidth="1"/>
    <col min="2" max="2" width="13.33203125" style="28" customWidth="1"/>
    <col min="3" max="3" width="24.1640625" style="28" customWidth="1"/>
    <col min="4" max="16384" width="13.33203125" style="28"/>
  </cols>
  <sheetData>
    <row r="1" spans="1:3" ht="18.75" x14ac:dyDescent="0.3">
      <c r="A1" s="48" t="s">
        <v>43</v>
      </c>
    </row>
    <row r="2" spans="1:3" ht="20.25" x14ac:dyDescent="0.3">
      <c r="A2" s="61" t="s">
        <v>38</v>
      </c>
      <c r="B2" s="61"/>
      <c r="C2" s="61"/>
    </row>
    <row r="3" spans="1:3" ht="16.5" thickBot="1" x14ac:dyDescent="0.3"/>
    <row r="4" spans="1:3" ht="16.5" thickBot="1" x14ac:dyDescent="0.3">
      <c r="A4" s="29" t="s">
        <v>6</v>
      </c>
      <c r="B4" s="30" t="s">
        <v>7</v>
      </c>
      <c r="C4" s="31" t="s">
        <v>10</v>
      </c>
    </row>
    <row r="5" spans="1:3" x14ac:dyDescent="0.25">
      <c r="A5" s="33" t="s">
        <v>31</v>
      </c>
      <c r="B5" s="34" t="s">
        <v>33</v>
      </c>
      <c r="C5" s="35">
        <v>120</v>
      </c>
    </row>
    <row r="6" spans="1:3" x14ac:dyDescent="0.25">
      <c r="A6" s="36" t="s">
        <v>32</v>
      </c>
      <c r="B6" s="32" t="s">
        <v>4</v>
      </c>
      <c r="C6" s="37">
        <f>Калькуляция!F25</f>
        <v>3196</v>
      </c>
    </row>
    <row r="7" spans="1:3" x14ac:dyDescent="0.25">
      <c r="A7" s="40" t="s">
        <v>34</v>
      </c>
      <c r="B7" s="41" t="s">
        <v>4</v>
      </c>
      <c r="C7" s="42">
        <f>SUM(C8:C12)</f>
        <v>38285.843999999997</v>
      </c>
    </row>
    <row r="8" spans="1:3" ht="31.5" x14ac:dyDescent="0.25">
      <c r="A8" s="43" t="s">
        <v>40</v>
      </c>
      <c r="B8" s="32" t="s">
        <v>4</v>
      </c>
      <c r="C8" s="37">
        <f>0.06*C5*C6</f>
        <v>23011.199999999997</v>
      </c>
    </row>
    <row r="9" spans="1:3" x14ac:dyDescent="0.25">
      <c r="A9" s="43" t="s">
        <v>39</v>
      </c>
      <c r="B9" s="32" t="s">
        <v>4</v>
      </c>
      <c r="C9" s="37">
        <v>500</v>
      </c>
    </row>
    <row r="10" spans="1:3" x14ac:dyDescent="0.25">
      <c r="A10" s="43" t="s">
        <v>35</v>
      </c>
      <c r="B10" s="32" t="s">
        <v>4</v>
      </c>
      <c r="C10" s="37">
        <f>(C5*C6-C8)*0.5%</f>
        <v>1802.5439999999999</v>
      </c>
    </row>
    <row r="11" spans="1:3" x14ac:dyDescent="0.25">
      <c r="A11" s="43" t="s">
        <v>36</v>
      </c>
      <c r="B11" s="32" t="s">
        <v>4</v>
      </c>
      <c r="C11" s="37">
        <v>2972.1</v>
      </c>
    </row>
    <row r="12" spans="1:3" ht="48" thickBot="1" x14ac:dyDescent="0.3">
      <c r="A12" s="44" t="s">
        <v>42</v>
      </c>
      <c r="B12" s="38"/>
      <c r="C12" s="39">
        <v>10000</v>
      </c>
    </row>
    <row r="13" spans="1:3" ht="16.5" thickBot="1" x14ac:dyDescent="0.3"/>
    <row r="14" spans="1:3" ht="16.5" thickBot="1" x14ac:dyDescent="0.3">
      <c r="A14" s="45" t="s">
        <v>37</v>
      </c>
      <c r="B14" s="46" t="s">
        <v>41</v>
      </c>
      <c r="C14" s="47">
        <f>C7/(Калькуляция!F11*'Расчет% накладных расхов'!C5)</f>
        <v>0.57377699847136043</v>
      </c>
    </row>
  </sheetData>
  <mergeCells count="1">
    <mergeCell ref="A2:C2"/>
  </mergeCells>
  <phoneticPr fontId="9" type="noConversion"/>
  <hyperlinks>
    <hyperlink ref="A1" r:id="rId1"/>
  </hyperlink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sqref="A1:B9"/>
    </sheetView>
  </sheetViews>
  <sheetFormatPr defaultRowHeight="12.75" x14ac:dyDescent="0.2"/>
  <sheetData>
    <row r="1" spans="1:2" x14ac:dyDescent="0.2">
      <c r="A1">
        <v>1</v>
      </c>
      <c r="B1">
        <v>1</v>
      </c>
    </row>
    <row r="2" spans="1:2" x14ac:dyDescent="0.2">
      <c r="A2">
        <v>2</v>
      </c>
      <c r="B2">
        <v>2</v>
      </c>
    </row>
    <row r="3" spans="1:2" x14ac:dyDescent="0.2">
      <c r="A3">
        <v>3</v>
      </c>
      <c r="B3">
        <v>3</v>
      </c>
    </row>
    <row r="4" spans="1:2" x14ac:dyDescent="0.2">
      <c r="A4">
        <v>4</v>
      </c>
      <c r="B4">
        <v>4</v>
      </c>
    </row>
    <row r="5" spans="1:2" x14ac:dyDescent="0.2">
      <c r="A5">
        <v>5</v>
      </c>
      <c r="B5">
        <v>5</v>
      </c>
    </row>
    <row r="6" spans="1:2" x14ac:dyDescent="0.2">
      <c r="A6">
        <v>6</v>
      </c>
      <c r="B6">
        <v>6</v>
      </c>
    </row>
    <row r="7" spans="1:2" x14ac:dyDescent="0.2">
      <c r="A7">
        <v>7</v>
      </c>
      <c r="B7">
        <v>7</v>
      </c>
    </row>
    <row r="8" spans="1:2" x14ac:dyDescent="0.2">
      <c r="A8">
        <v>8</v>
      </c>
      <c r="B8">
        <v>8</v>
      </c>
    </row>
    <row r="9" spans="1:2" x14ac:dyDescent="0.2">
      <c r="A9">
        <v>9</v>
      </c>
      <c r="B9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Калькуляция</vt:lpstr>
      <vt:lpstr>Расчет% накладных расхов</vt:lpstr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www.peo.su</dc:creator>
  <cp:lastModifiedBy>webmaster</cp:lastModifiedBy>
  <cp:lastPrinted>2009-12-10T12:00:53Z</cp:lastPrinted>
  <dcterms:created xsi:type="dcterms:W3CDTF">2009-12-10T11:41:43Z</dcterms:created>
  <dcterms:modified xsi:type="dcterms:W3CDTF">2015-12-03T21:37:32Z</dcterms:modified>
</cp:coreProperties>
</file>