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5" windowWidth="10515" windowHeight="2895"/>
  </bookViews>
  <sheets>
    <sheet name="калькуляция" sheetId="5" r:id="rId1"/>
    <sheet name="материалы" sheetId="2" r:id="rId2"/>
    <sheet name="нормы" sheetId="1" r:id="rId3"/>
    <sheet name="расценки" sheetId="3" r:id="rId4"/>
    <sheet name="осн.зарпл." sheetId="4" r:id="rId5"/>
  </sheets>
  <calcPr calcId="145621"/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B4" i="4"/>
  <c r="B5" i="4"/>
  <c r="B6" i="4"/>
  <c r="B7" i="4"/>
  <c r="B3" i="4"/>
  <c r="A4" i="4"/>
  <c r="A5" i="4" s="1"/>
  <c r="A6" i="4" s="1"/>
  <c r="A7" i="4" s="1"/>
  <c r="E3" i="3"/>
  <c r="C3" i="4" s="1"/>
  <c r="E4" i="3"/>
  <c r="C4" i="4" s="1"/>
  <c r="E5" i="3"/>
  <c r="C5" i="4" s="1"/>
  <c r="E6" i="3"/>
  <c r="C6" i="4" s="1"/>
  <c r="E7" i="3"/>
  <c r="C7" i="4" s="1"/>
  <c r="A4" i="3"/>
  <c r="A5" i="3" s="1"/>
  <c r="A6" i="3" s="1"/>
  <c r="A7" i="3" s="1"/>
  <c r="C4" i="2"/>
  <c r="C5" i="2"/>
  <c r="C6" i="2"/>
  <c r="C3" i="2"/>
  <c r="B4" i="2"/>
  <c r="B5" i="2"/>
  <c r="B6" i="2"/>
  <c r="B3" i="2"/>
  <c r="A4" i="2"/>
  <c r="A5" i="2" s="1"/>
  <c r="A6" i="2" s="1"/>
  <c r="G3" i="1"/>
  <c r="D3" i="2" s="1"/>
  <c r="F3" i="2" s="1"/>
  <c r="G4" i="1"/>
  <c r="D4" i="2" s="1"/>
  <c r="F4" i="2" s="1"/>
  <c r="G5" i="1"/>
  <c r="D5" i="2" s="1"/>
  <c r="F5" i="2" s="1"/>
  <c r="G6" i="1"/>
  <c r="D6" i="2" s="1"/>
  <c r="F6" i="2" s="1"/>
  <c r="A4" i="1"/>
  <c r="A5" i="1" s="1"/>
  <c r="A6" i="1" s="1"/>
  <c r="D6" i="4" l="1"/>
  <c r="E6" i="4" s="1"/>
  <c r="D4" i="4"/>
  <c r="E4" i="4" s="1"/>
  <c r="D7" i="4"/>
  <c r="E7" i="4" s="1"/>
  <c r="D5" i="4"/>
  <c r="E5" i="4" s="1"/>
  <c r="D3" i="4"/>
  <c r="E3" i="4" s="1"/>
  <c r="E8" i="4" s="1"/>
  <c r="D4" i="5" s="1"/>
  <c r="F7" i="2"/>
  <c r="D3" i="5" s="1"/>
  <c r="D5" i="5" l="1"/>
  <c r="D6" i="5" s="1"/>
  <c r="D8" i="5" s="1"/>
  <c r="D9" i="5" l="1"/>
  <c r="D10" i="5" s="1"/>
  <c r="D11" i="5" s="1"/>
  <c r="D12" i="5" s="1"/>
  <c r="D13" i="5" s="1"/>
</calcChain>
</file>

<file path=xl/sharedStrings.xml><?xml version="1.0" encoding="utf-8"?>
<sst xmlns="http://schemas.openxmlformats.org/spreadsheetml/2006/main" count="59" uniqueCount="45">
  <si>
    <t>№</t>
  </si>
  <si>
    <t>Деталь</t>
  </si>
  <si>
    <t>Наименование материала</t>
  </si>
  <si>
    <t>Чистый расход</t>
  </si>
  <si>
    <t>Технологические потери,%</t>
  </si>
  <si>
    <t>Расход с учетом потерь</t>
  </si>
  <si>
    <t>Ед.измер.</t>
  </si>
  <si>
    <t>Ед.изм.</t>
  </si>
  <si>
    <t>Норма расхода</t>
  </si>
  <si>
    <t>Цена, руб.</t>
  </si>
  <si>
    <t>Стоимость, руб.</t>
  </si>
  <si>
    <t>Стоимость материалов</t>
  </si>
  <si>
    <t>Итого:</t>
  </si>
  <si>
    <t>Наименование операции</t>
  </si>
  <si>
    <t>Норма выработки, шт.</t>
  </si>
  <si>
    <t>Нормо-час</t>
  </si>
  <si>
    <t>Расценка, руб.</t>
  </si>
  <si>
    <t>Пооперационные нормы времени и расценки</t>
  </si>
  <si>
    <t>Наименование работ</t>
  </si>
  <si>
    <t>Премия, 30%</t>
  </si>
  <si>
    <t>Основная зарплата, руб.</t>
  </si>
  <si>
    <t>Основная заработная плата производственных рабочих</t>
  </si>
  <si>
    <t>Статьи затрат</t>
  </si>
  <si>
    <t>Расчет показателя</t>
  </si>
  <si>
    <t>Сумма затрат на 1000 упаковок</t>
  </si>
  <si>
    <t>Сырье и материалы</t>
  </si>
  <si>
    <t>"материалы"</t>
  </si>
  <si>
    <t>Основная з/плата</t>
  </si>
  <si>
    <t>"осн.зарпл."</t>
  </si>
  <si>
    <t>Дополнительная з/плата</t>
  </si>
  <si>
    <t>10% от ФОТ</t>
  </si>
  <si>
    <t>Обязательные страховые взносы</t>
  </si>
  <si>
    <t>30% от осн.и доп.з/п (22%+2,9%+5,1%)</t>
  </si>
  <si>
    <t>Амортизация ОС</t>
  </si>
  <si>
    <t>Бухгалтерский баланс</t>
  </si>
  <si>
    <t>Полная себестоимость</t>
  </si>
  <si>
    <t>Расчетный показатель</t>
  </si>
  <si>
    <t>Прибыль</t>
  </si>
  <si>
    <t>Цена без налогов</t>
  </si>
  <si>
    <t>Налоги</t>
  </si>
  <si>
    <t>Отпускная цена без НДС</t>
  </si>
  <si>
    <t>Цена 1 упаковки без НДС</t>
  </si>
  <si>
    <t>Нормы расхода сырья на производство</t>
  </si>
  <si>
    <t>Плановая калькуляция по расчету стоимости</t>
  </si>
  <si>
    <t>http://exceltable.com/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</si>
</sst>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u/>
      <sz val="14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0" fontId="1" fillId="2" borderId="0" xfId="0" applyFont="1" applyFill="1" applyAlignment="1">
      <alignment horizontal="center"/>
    </xf>
    <xf numFmtId="1" fontId="0" fillId="0" borderId="0" xfId="0" applyNumberFormat="1"/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/>
    <xf numFmtId="0" fontId="4" fillId="0" borderId="0" xfId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exceltabl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exceltable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xceltable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exceltable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exceltab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D1" sqref="D1"/>
    </sheetView>
  </sheetViews>
  <sheetFormatPr defaultRowHeight="15" x14ac:dyDescent="0.25"/>
  <cols>
    <col min="1" max="1" width="5.42578125" customWidth="1"/>
    <col min="2" max="2" width="33.140625" customWidth="1"/>
    <col min="3" max="3" width="35" customWidth="1"/>
    <col min="4" max="4" width="29.28515625" customWidth="1"/>
  </cols>
  <sheetData>
    <row r="1" spans="1:7" ht="18.75" x14ac:dyDescent="0.3">
      <c r="A1">
        <v>1</v>
      </c>
      <c r="B1" s="1" t="s">
        <v>43</v>
      </c>
      <c r="D1" s="9" t="s">
        <v>44</v>
      </c>
    </row>
    <row r="2" spans="1:7" x14ac:dyDescent="0.25">
      <c r="A2" s="5" t="s">
        <v>0</v>
      </c>
      <c r="B2" s="5" t="s">
        <v>22</v>
      </c>
      <c r="C2" s="5" t="s">
        <v>23</v>
      </c>
      <c r="D2" s="5" t="s">
        <v>24</v>
      </c>
      <c r="E2" s="5"/>
      <c r="F2" s="5"/>
      <c r="G2" s="5"/>
    </row>
    <row r="3" spans="1:7" x14ac:dyDescent="0.25">
      <c r="A3" s="3">
        <v>2</v>
      </c>
      <c r="B3" s="3" t="s">
        <v>25</v>
      </c>
      <c r="C3" s="3" t="s">
        <v>26</v>
      </c>
      <c r="D3" s="8">
        <f>материалы!F7</f>
        <v>0</v>
      </c>
    </row>
    <row r="4" spans="1:7" x14ac:dyDescent="0.25">
      <c r="A4" s="3">
        <f>A3+1</f>
        <v>3</v>
      </c>
      <c r="B4" s="3" t="s">
        <v>27</v>
      </c>
      <c r="C4" s="3" t="s">
        <v>28</v>
      </c>
      <c r="D4" s="8">
        <f>осн.зарпл.!E8</f>
        <v>0</v>
      </c>
    </row>
    <row r="5" spans="1:7" x14ac:dyDescent="0.25">
      <c r="A5" s="3">
        <f t="shared" ref="A5:A13" si="0">A4+1</f>
        <v>4</v>
      </c>
      <c r="B5" s="3" t="s">
        <v>29</v>
      </c>
      <c r="C5" s="3" t="s">
        <v>30</v>
      </c>
      <c r="D5" s="8">
        <f>D4*10%</f>
        <v>0</v>
      </c>
    </row>
    <row r="6" spans="1:7" x14ac:dyDescent="0.25">
      <c r="A6" s="3">
        <f t="shared" si="0"/>
        <v>5</v>
      </c>
      <c r="B6" s="3" t="s">
        <v>31</v>
      </c>
      <c r="C6" s="3" t="s">
        <v>32</v>
      </c>
      <c r="D6" s="8">
        <f>(D4+D5)*30%</f>
        <v>0</v>
      </c>
    </row>
    <row r="7" spans="1:7" x14ac:dyDescent="0.25">
      <c r="A7" s="3">
        <f t="shared" si="0"/>
        <v>6</v>
      </c>
      <c r="B7" s="3" t="s">
        <v>33</v>
      </c>
      <c r="C7" s="3" t="s">
        <v>34</v>
      </c>
      <c r="D7" s="3"/>
    </row>
    <row r="8" spans="1:7" x14ac:dyDescent="0.25">
      <c r="A8" s="3">
        <f t="shared" si="0"/>
        <v>7</v>
      </c>
      <c r="B8" s="3" t="s">
        <v>35</v>
      </c>
      <c r="C8" s="3" t="s">
        <v>36</v>
      </c>
      <c r="D8" s="8">
        <f>D3+D4+D5+D6+D7</f>
        <v>0</v>
      </c>
    </row>
    <row r="9" spans="1:7" x14ac:dyDescent="0.25">
      <c r="A9" s="3">
        <f t="shared" si="0"/>
        <v>8</v>
      </c>
      <c r="B9" s="3" t="s">
        <v>37</v>
      </c>
      <c r="C9" s="4">
        <v>0.3</v>
      </c>
      <c r="D9" s="8">
        <f>D8*30%</f>
        <v>0</v>
      </c>
    </row>
    <row r="10" spans="1:7" x14ac:dyDescent="0.25">
      <c r="A10" s="3">
        <f t="shared" si="0"/>
        <v>9</v>
      </c>
      <c r="B10" s="3" t="s">
        <v>38</v>
      </c>
      <c r="C10" s="3" t="s">
        <v>36</v>
      </c>
      <c r="D10" s="8">
        <f>D8+D9</f>
        <v>0</v>
      </c>
    </row>
    <row r="11" spans="1:7" x14ac:dyDescent="0.25">
      <c r="A11" s="3">
        <f t="shared" si="0"/>
        <v>10</v>
      </c>
      <c r="B11" s="3" t="s">
        <v>39</v>
      </c>
      <c r="C11" s="4">
        <v>0.13</v>
      </c>
      <c r="D11" s="8">
        <f>D10*13%</f>
        <v>0</v>
      </c>
    </row>
    <row r="12" spans="1:7" x14ac:dyDescent="0.25">
      <c r="A12" s="3">
        <f t="shared" si="0"/>
        <v>11</v>
      </c>
      <c r="B12" s="3" t="s">
        <v>40</v>
      </c>
      <c r="C12" s="3" t="s">
        <v>36</v>
      </c>
      <c r="D12" s="8">
        <f>D10+D11</f>
        <v>0</v>
      </c>
    </row>
    <row r="13" spans="1:7" x14ac:dyDescent="0.25">
      <c r="A13" s="3">
        <f t="shared" si="0"/>
        <v>12</v>
      </c>
      <c r="B13" s="3" t="s">
        <v>41</v>
      </c>
      <c r="C13" s="4" t="s">
        <v>36</v>
      </c>
      <c r="D13" s="8">
        <f>D12/1000</f>
        <v>0</v>
      </c>
    </row>
  </sheetData>
  <hyperlinks>
    <hyperlink ref="D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F1" sqref="F1"/>
    </sheetView>
  </sheetViews>
  <sheetFormatPr defaultRowHeight="15" x14ac:dyDescent="0.25"/>
  <cols>
    <col min="1" max="1" width="4.85546875" customWidth="1"/>
    <col min="2" max="2" width="26" customWidth="1"/>
    <col min="3" max="3" width="8" customWidth="1"/>
    <col min="4" max="4" width="15.28515625" customWidth="1"/>
    <col min="5" max="5" width="11" customWidth="1"/>
    <col min="6" max="6" width="16" customWidth="1"/>
  </cols>
  <sheetData>
    <row r="1" spans="1:6" ht="18.75" x14ac:dyDescent="0.3">
      <c r="A1">
        <v>1</v>
      </c>
      <c r="B1" s="1" t="s">
        <v>11</v>
      </c>
      <c r="F1" s="9" t="s">
        <v>44</v>
      </c>
    </row>
    <row r="2" spans="1:6" x14ac:dyDescent="0.25">
      <c r="A2" s="5" t="s">
        <v>0</v>
      </c>
      <c r="B2" s="5" t="s">
        <v>2</v>
      </c>
      <c r="C2" s="5" t="s">
        <v>7</v>
      </c>
      <c r="D2" s="5" t="s">
        <v>8</v>
      </c>
      <c r="E2" s="5" t="s">
        <v>9</v>
      </c>
      <c r="F2" s="5" t="s">
        <v>10</v>
      </c>
    </row>
    <row r="3" spans="1:6" x14ac:dyDescent="0.25">
      <c r="A3">
        <v>2</v>
      </c>
      <c r="B3">
        <f>нормы!C3</f>
        <v>0</v>
      </c>
      <c r="C3">
        <f>нормы!D3</f>
        <v>0</v>
      </c>
      <c r="D3">
        <f>нормы!G3</f>
        <v>0</v>
      </c>
      <c r="F3" s="6">
        <f>D3*E3</f>
        <v>0</v>
      </c>
    </row>
    <row r="4" spans="1:6" x14ac:dyDescent="0.25">
      <c r="A4">
        <f>A3+1</f>
        <v>3</v>
      </c>
      <c r="B4">
        <f>нормы!C4</f>
        <v>0</v>
      </c>
      <c r="C4">
        <f>нормы!D4</f>
        <v>0</v>
      </c>
      <c r="D4">
        <f>нормы!G4</f>
        <v>0</v>
      </c>
      <c r="F4" s="6">
        <f t="shared" ref="F4:F6" si="0">D4*E4</f>
        <v>0</v>
      </c>
    </row>
    <row r="5" spans="1:6" x14ac:dyDescent="0.25">
      <c r="A5">
        <f t="shared" ref="A5:A6" si="1">A4+1</f>
        <v>4</v>
      </c>
      <c r="B5">
        <f>нормы!C5</f>
        <v>0</v>
      </c>
      <c r="C5">
        <f>нормы!D5</f>
        <v>0</v>
      </c>
      <c r="D5">
        <f>нормы!G5</f>
        <v>0</v>
      </c>
      <c r="F5" s="6">
        <f t="shared" si="0"/>
        <v>0</v>
      </c>
    </row>
    <row r="6" spans="1:6" x14ac:dyDescent="0.25">
      <c r="A6">
        <f t="shared" si="1"/>
        <v>5</v>
      </c>
      <c r="B6">
        <f>нормы!C6</f>
        <v>0</v>
      </c>
      <c r="C6">
        <f>нормы!D6</f>
        <v>0</v>
      </c>
      <c r="D6">
        <f>нормы!G6</f>
        <v>0</v>
      </c>
      <c r="F6" s="6">
        <f t="shared" si="0"/>
        <v>0</v>
      </c>
    </row>
    <row r="7" spans="1:6" x14ac:dyDescent="0.25">
      <c r="B7" t="s">
        <v>12</v>
      </c>
      <c r="F7" s="6">
        <f>SUM(F3:F6)</f>
        <v>0</v>
      </c>
    </row>
  </sheetData>
  <hyperlinks>
    <hyperlink ref="F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F1" sqref="F1"/>
    </sheetView>
  </sheetViews>
  <sheetFormatPr defaultRowHeight="15" x14ac:dyDescent="0.25"/>
  <cols>
    <col min="1" max="1" width="3.85546875" customWidth="1"/>
    <col min="2" max="2" width="20.140625" customWidth="1"/>
    <col min="3" max="3" width="24.7109375" customWidth="1"/>
    <col min="5" max="5" width="14.5703125" customWidth="1"/>
    <col min="6" max="6" width="25.7109375" customWidth="1"/>
    <col min="7" max="7" width="23.28515625" customWidth="1"/>
  </cols>
  <sheetData>
    <row r="1" spans="1:7" ht="18.75" x14ac:dyDescent="0.3">
      <c r="A1">
        <v>1</v>
      </c>
      <c r="B1" s="1" t="s">
        <v>42</v>
      </c>
      <c r="F1" s="9" t="s">
        <v>44</v>
      </c>
    </row>
    <row r="2" spans="1:7" x14ac:dyDescent="0.25">
      <c r="A2" s="2" t="s">
        <v>0</v>
      </c>
      <c r="B2" s="2" t="s">
        <v>1</v>
      </c>
      <c r="C2" s="2" t="s">
        <v>2</v>
      </c>
      <c r="D2" s="2" t="s">
        <v>6</v>
      </c>
      <c r="E2" s="2" t="s">
        <v>3</v>
      </c>
      <c r="F2" s="2" t="s">
        <v>4</v>
      </c>
      <c r="G2" s="2" t="s">
        <v>5</v>
      </c>
    </row>
    <row r="3" spans="1:7" x14ac:dyDescent="0.25">
      <c r="A3" s="3">
        <v>2</v>
      </c>
      <c r="B3" s="3"/>
      <c r="C3" s="3"/>
      <c r="D3" s="3"/>
      <c r="E3" s="3"/>
      <c r="F3" s="4"/>
      <c r="G3" s="3">
        <f>E3+E3*F3</f>
        <v>0</v>
      </c>
    </row>
    <row r="4" spans="1:7" x14ac:dyDescent="0.25">
      <c r="A4" s="3">
        <f>A3+1</f>
        <v>3</v>
      </c>
      <c r="B4" s="3"/>
      <c r="C4" s="3"/>
      <c r="D4" s="3"/>
      <c r="E4" s="3"/>
      <c r="F4" s="4"/>
      <c r="G4" s="3">
        <f t="shared" ref="G4:G6" si="0">E4+E4*F4</f>
        <v>0</v>
      </c>
    </row>
    <row r="5" spans="1:7" x14ac:dyDescent="0.25">
      <c r="A5" s="3">
        <f t="shared" ref="A5:A6" si="1">A4+1</f>
        <v>4</v>
      </c>
      <c r="B5" s="3"/>
      <c r="C5" s="3"/>
      <c r="D5" s="3"/>
      <c r="E5" s="3"/>
      <c r="F5" s="4"/>
      <c r="G5" s="3">
        <f t="shared" si="0"/>
        <v>0</v>
      </c>
    </row>
    <row r="6" spans="1:7" x14ac:dyDescent="0.25">
      <c r="A6" s="3">
        <f t="shared" si="1"/>
        <v>5</v>
      </c>
      <c r="B6" s="3"/>
      <c r="C6" s="3"/>
      <c r="D6" s="3"/>
      <c r="E6" s="3"/>
      <c r="F6" s="4"/>
      <c r="G6" s="3">
        <f t="shared" si="0"/>
        <v>0</v>
      </c>
    </row>
  </sheetData>
  <hyperlinks>
    <hyperlink ref="F1" r:id="rId1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F1" sqref="F1"/>
    </sheetView>
  </sheetViews>
  <sheetFormatPr defaultRowHeight="15" x14ac:dyDescent="0.25"/>
  <cols>
    <col min="1" max="1" width="4.5703125" customWidth="1"/>
    <col min="2" max="2" width="25.42578125" customWidth="1"/>
    <col min="3" max="3" width="23" customWidth="1"/>
    <col min="4" max="4" width="12.28515625" customWidth="1"/>
    <col min="5" max="5" width="14.42578125" customWidth="1"/>
  </cols>
  <sheetData>
    <row r="1" spans="1:6" ht="18.75" x14ac:dyDescent="0.3">
      <c r="A1">
        <v>1</v>
      </c>
      <c r="B1" s="1" t="s">
        <v>17</v>
      </c>
      <c r="F1" s="9" t="s">
        <v>44</v>
      </c>
    </row>
    <row r="2" spans="1:6" x14ac:dyDescent="0.25">
      <c r="A2" s="7" t="s">
        <v>0</v>
      </c>
      <c r="B2" s="7" t="s">
        <v>13</v>
      </c>
      <c r="C2" s="7" t="s">
        <v>14</v>
      </c>
      <c r="D2" s="7" t="s">
        <v>15</v>
      </c>
      <c r="E2" s="7" t="s">
        <v>16</v>
      </c>
    </row>
    <row r="3" spans="1:6" x14ac:dyDescent="0.25">
      <c r="A3" s="3">
        <v>2</v>
      </c>
      <c r="B3" s="3"/>
      <c r="C3" s="3"/>
      <c r="D3" s="3"/>
      <c r="E3" s="8">
        <f>C3*D3</f>
        <v>0</v>
      </c>
    </row>
    <row r="4" spans="1:6" x14ac:dyDescent="0.25">
      <c r="A4" s="3">
        <f>A3+1</f>
        <v>3</v>
      </c>
      <c r="B4" s="3"/>
      <c r="C4" s="3"/>
      <c r="D4" s="3"/>
      <c r="E4" s="8">
        <f t="shared" ref="E4:E7" si="0">C4*D4</f>
        <v>0</v>
      </c>
    </row>
    <row r="5" spans="1:6" x14ac:dyDescent="0.25">
      <c r="A5" s="3">
        <f t="shared" ref="A5:A7" si="1">A4+1</f>
        <v>4</v>
      </c>
      <c r="B5" s="3"/>
      <c r="C5" s="3"/>
      <c r="D5" s="3"/>
      <c r="E5" s="8">
        <f t="shared" si="0"/>
        <v>0</v>
      </c>
    </row>
    <row r="6" spans="1:6" x14ac:dyDescent="0.25">
      <c r="A6" s="3">
        <f t="shared" si="1"/>
        <v>5</v>
      </c>
      <c r="B6" s="3"/>
      <c r="C6" s="3"/>
      <c r="D6" s="3"/>
      <c r="E6" s="8">
        <f t="shared" si="0"/>
        <v>0</v>
      </c>
    </row>
    <row r="7" spans="1:6" x14ac:dyDescent="0.25">
      <c r="A7" s="3">
        <f t="shared" si="1"/>
        <v>6</v>
      </c>
      <c r="B7" s="3"/>
      <c r="C7" s="3"/>
      <c r="D7" s="3"/>
      <c r="E7" s="8">
        <f t="shared" si="0"/>
        <v>0</v>
      </c>
    </row>
  </sheetData>
  <hyperlinks>
    <hyperlink ref="F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F1" sqref="F1"/>
    </sheetView>
  </sheetViews>
  <sheetFormatPr defaultRowHeight="15" x14ac:dyDescent="0.25"/>
  <cols>
    <col min="2" max="2" width="21.5703125" customWidth="1"/>
    <col min="3" max="3" width="16.85546875" customWidth="1"/>
    <col min="4" max="4" width="14.28515625" customWidth="1"/>
    <col min="5" max="5" width="23.7109375" customWidth="1"/>
  </cols>
  <sheetData>
    <row r="1" spans="1:6" ht="18.75" x14ac:dyDescent="0.3">
      <c r="A1">
        <v>1</v>
      </c>
      <c r="B1" s="1" t="s">
        <v>21</v>
      </c>
      <c r="F1" s="9" t="s">
        <v>44</v>
      </c>
    </row>
    <row r="2" spans="1:6" x14ac:dyDescent="0.25">
      <c r="A2" s="7" t="s">
        <v>0</v>
      </c>
      <c r="B2" s="7" t="s">
        <v>18</v>
      </c>
      <c r="C2" s="7" t="s">
        <v>16</v>
      </c>
      <c r="D2" s="7" t="s">
        <v>19</v>
      </c>
      <c r="E2" s="7" t="s">
        <v>20</v>
      </c>
    </row>
    <row r="3" spans="1:6" x14ac:dyDescent="0.25">
      <c r="A3" s="3">
        <v>2</v>
      </c>
      <c r="B3" s="3">
        <f>расценки!B3</f>
        <v>0</v>
      </c>
      <c r="C3" s="8">
        <f>расценки!E3</f>
        <v>0</v>
      </c>
      <c r="D3" s="8">
        <f>C3*30%</f>
        <v>0</v>
      </c>
      <c r="E3" s="8">
        <f>C3+D3</f>
        <v>0</v>
      </c>
    </row>
    <row r="4" spans="1:6" x14ac:dyDescent="0.25">
      <c r="A4" s="3">
        <f>A3+1</f>
        <v>3</v>
      </c>
      <c r="B4" s="3">
        <f>расценки!B4</f>
        <v>0</v>
      </c>
      <c r="C4" s="8">
        <f>расценки!E4</f>
        <v>0</v>
      </c>
      <c r="D4" s="8">
        <f t="shared" ref="D4:D7" si="0">C4*30%</f>
        <v>0</v>
      </c>
      <c r="E4" s="8">
        <f t="shared" ref="E4:E7" si="1">C4+D4</f>
        <v>0</v>
      </c>
    </row>
    <row r="5" spans="1:6" x14ac:dyDescent="0.25">
      <c r="A5" s="3">
        <f t="shared" ref="A5:A7" si="2">A4+1</f>
        <v>4</v>
      </c>
      <c r="B5" s="3">
        <f>расценки!B5</f>
        <v>0</v>
      </c>
      <c r="C5" s="8">
        <f>расценки!E5</f>
        <v>0</v>
      </c>
      <c r="D5" s="8">
        <f t="shared" si="0"/>
        <v>0</v>
      </c>
      <c r="E5" s="8">
        <f t="shared" si="1"/>
        <v>0</v>
      </c>
    </row>
    <row r="6" spans="1:6" x14ac:dyDescent="0.25">
      <c r="A6" s="3">
        <f t="shared" si="2"/>
        <v>5</v>
      </c>
      <c r="B6" s="3">
        <f>расценки!B6</f>
        <v>0</v>
      </c>
      <c r="C6" s="8">
        <f>расценки!E6</f>
        <v>0</v>
      </c>
      <c r="D6" s="8">
        <f t="shared" si="0"/>
        <v>0</v>
      </c>
      <c r="E6" s="8">
        <f t="shared" si="1"/>
        <v>0</v>
      </c>
    </row>
    <row r="7" spans="1:6" x14ac:dyDescent="0.25">
      <c r="A7" s="3">
        <f t="shared" si="2"/>
        <v>6</v>
      </c>
      <c r="B7" s="3">
        <f>расценки!B7</f>
        <v>0</v>
      </c>
      <c r="C7" s="8">
        <f>расценки!E7</f>
        <v>0</v>
      </c>
      <c r="D7" s="8">
        <f t="shared" si="0"/>
        <v>0</v>
      </c>
      <c r="E7" s="8">
        <f t="shared" si="1"/>
        <v>0</v>
      </c>
    </row>
    <row r="8" spans="1:6" x14ac:dyDescent="0.25">
      <c r="B8" t="s">
        <v>12</v>
      </c>
      <c r="E8" s="6">
        <f>SUM(E3:E7)</f>
        <v>0</v>
      </c>
    </row>
  </sheetData>
  <hyperlinks>
    <hyperlink ref="F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калькуляция</vt:lpstr>
      <vt:lpstr>материалы</vt:lpstr>
      <vt:lpstr>нормы</vt:lpstr>
      <vt:lpstr>расценки</vt:lpstr>
      <vt:lpstr>осн.зарпл.</vt:lpstr>
    </vt:vector>
  </TitlesOfParts>
  <Company>Reanimator Extreme Edition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webmaster</cp:lastModifiedBy>
  <dcterms:created xsi:type="dcterms:W3CDTF">2015-08-27T21:24:29Z</dcterms:created>
  <dcterms:modified xsi:type="dcterms:W3CDTF">2015-12-03T19:54:34Z</dcterms:modified>
</cp:coreProperties>
</file>